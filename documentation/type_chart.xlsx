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Defense Matchup" sheetId="1" state="visible" r:id="rId1"/>
    <sheet name="Type Chart" sheetId="2" state="visible" r:id="rId2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<sst xmlns="http://schemas.openxmlformats.org/spreadsheetml/2006/main" count="35" uniqueCount="35">
  <si>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 xml:space="preserve">RGB Tweaked - Defense Matchup Calculator</t>
  </si>
  <si>
    <t xml:space="preserve">Select your Pokémon's type(s). Leave Type 2 as '(none)' for single-type.</t>
  </si>
  <si>
    <t xml:space="preserve">Type 1</t>
  </si>
  <si>
    <t>Normal</t>
  </si>
  <si>
    <t xml:space="preserve">Type 2</t>
  </si>
  <si>
    <t>(none)</t>
  </si>
  <si>
    <t xml:space="preserve">Attacking Type</t>
  </si>
  <si>
    <t>×</t>
  </si>
  <si>
    <t>Effectiveness</t>
  </si>
  <si>
    <t>Fire</t>
  </si>
  <si>
    <t>Water</t>
  </si>
  <si>
    <t>Electric</t>
  </si>
  <si>
    <t>Grass</t>
  </si>
  <si>
    <t>Ice</t>
  </si>
  <si>
    <t>Fighting</t>
  </si>
  <si>
    <t>Poison</t>
  </si>
  <si>
    <t>Ground</t>
  </si>
  <si>
    <t>Flying</t>
  </si>
  <si>
    <t>Psychic</t>
  </si>
  <si>
    <t>Bug</t>
  </si>
  <si>
    <t>Rock</t>
  </si>
  <si>
    <t>Ghost</t>
  </si>
  <si>
    <t>Dragon</t>
  </si>
  <si>
    <t xml:space="preserve">★ Default rule applied: Ghost is super-effective (×2) against Psychic</t>
  </si>
  <si>
    <t xml:space="preserve">ATK \ DEF</t>
  </si>
  <si>
    <t>1</t>
  </si>
  <si>
    <t>½</t>
  </si>
  <si>
    <t>0</t>
  </si>
  <si>
    <t>2</t>
  </si>
  <si>
    <t>Legend</t>
  </si>
  <si>
    <t xml:space="preserve">Immune (×0)</t>
  </si>
  <si>
    <t xml:space="preserve">Not very effective (×½)</t>
  </si>
  <si>
    <t xml:space="preserve">Normal (×1)</t>
  </si>
  <si>
    <t xml:space="preserve">Super effective (×2)</t>
  </si>
  <si>
    <t xml:space="preserve">★ Default rule: Ghost is super-effective against Psychic (different from vanilla Gen 1)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</si>
</sst>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##"/>
  </numFmts>
  <fonts count="14">
    <font>
      <sz val="11.000000"/>
      <color theme="1"/>
      <name val="Calibri"/>
    </font>
    <font>
      <sz val="10.000000"/>
      <name val="Arial"/>
    </font>
    <font>
      <b/>
      <sz val="15.000000"/>
      <color indexed="63"/>
      <name val="Arial"/>
    </font>
    <font>
      <i/>
      <sz val="10.000000"/>
      <color rgb="FF888888"/>
      <name val="Arial"/>
    </font>
    <font>
      <b/>
      <sz val="11.000000"/>
      <color rgb="FF555555"/>
      <name val="Arial"/>
    </font>
    <font>
      <b/>
      <sz val="13.000000"/>
      <color indexed="65"/>
      <name val="Arial"/>
    </font>
    <font>
      <b/>
      <sz val="10.000000"/>
      <color indexed="65"/>
      <name val="Arial"/>
    </font>
    <font>
      <sz val="9.000000"/>
      <color rgb="FFCCCCCC"/>
      <name val="Arial"/>
    </font>
    <font>
      <b/>
      <sz val="12.000000"/>
      <name val="Arial"/>
    </font>
    <font>
      <i/>
      <sz val="9.000000"/>
      <color rgb="FF705898"/>
      <name val="Arial"/>
    </font>
    <font>
      <b/>
      <sz val="9.000000"/>
      <color indexed="65"/>
      <name val="Arial"/>
    </font>
    <font>
      <sz val="10.000000"/>
      <color rgb="FF222222"/>
      <name val="Arial"/>
    </font>
    <font>
      <b/>
      <sz val="10.000000"/>
      <color rgb="FF222222"/>
      <name val="Arial"/>
    </font>
    <font>
      <b/>
      <sz val="10.000000"/>
      <name val="Arial"/>
    </font>
  </fonts>
  <fills count="24">
    <fill>
      <patternFill patternType="none"/>
    </fill>
    <fill>
      <patternFill patternType="gray125"/>
    </fill>
    <fill>
      <patternFill patternType="solid">
        <fgColor theme="7" tint="0.39997558519241921"/>
        <bgColor theme="7" tint="0.39997558519241921"/>
      </patternFill>
    </fill>
    <fill>
      <patternFill patternType="solid">
        <fgColor rgb="FF444444"/>
        <bgColor rgb="FF555555"/>
      </patternFill>
    </fill>
    <fill>
      <patternFill patternType="solid">
        <fgColor rgb="FFA8A878"/>
        <bgColor rgb="FFB8A038"/>
      </patternFill>
    </fill>
    <fill>
      <patternFill patternType="solid">
        <fgColor rgb="FFF08030"/>
        <bgColor rgb="FFB8A038"/>
      </patternFill>
    </fill>
    <fill>
      <patternFill patternType="solid">
        <fgColor rgb="FF6890F0"/>
        <bgColor rgb="FFA890F0"/>
      </patternFill>
    </fill>
    <fill>
      <patternFill patternType="solid">
        <fgColor rgb="FFF8D030"/>
        <bgColor rgb="FFE0C068"/>
      </patternFill>
    </fill>
    <fill>
      <patternFill patternType="solid">
        <fgColor rgb="FF78C850"/>
        <bgColor rgb="FFA8B820"/>
      </patternFill>
    </fill>
    <fill>
      <patternFill patternType="solid">
        <fgColor rgb="FF98D8D8"/>
        <bgColor rgb="FFCCCCCC"/>
      </patternFill>
    </fill>
    <fill>
      <patternFill patternType="solid">
        <fgColor rgb="FFC03028"/>
        <bgColor rgb="FFD44000"/>
      </patternFill>
    </fill>
    <fill>
      <patternFill patternType="solid">
        <fgColor rgb="FFA040A0"/>
        <bgColor rgb="FF705898"/>
      </patternFill>
    </fill>
    <fill>
      <patternFill patternType="solid">
        <fgColor rgb="FFE0C068"/>
        <bgColor rgb="FFF8D030"/>
      </patternFill>
    </fill>
    <fill>
      <patternFill patternType="solid">
        <fgColor rgb="FFA890F0"/>
        <bgColor indexed="46"/>
      </patternFill>
    </fill>
    <fill>
      <patternFill patternType="solid">
        <fgColor rgb="FFF85888"/>
        <bgColor rgb="FFF08030"/>
      </patternFill>
    </fill>
    <fill>
      <patternFill patternType="solid">
        <fgColor rgb="FFA8B820"/>
        <bgColor rgb="FFB8A038"/>
      </patternFill>
    </fill>
    <fill>
      <patternFill patternType="solid">
        <fgColor rgb="FFB8A038"/>
        <bgColor rgb="FFA8B820"/>
      </patternFill>
    </fill>
    <fill>
      <patternFill patternType="solid">
        <fgColor rgb="FF705898"/>
        <bgColor rgb="FF555555"/>
      </patternFill>
    </fill>
    <fill>
      <patternFill patternType="solid">
        <fgColor rgb="FF7038F8"/>
        <bgColor rgb="FFA040A0"/>
      </patternFill>
    </fill>
    <fill>
      <patternFill patternType="solid">
        <fgColor indexed="63"/>
        <bgColor rgb="FF222222"/>
      </patternFill>
    </fill>
    <fill>
      <patternFill patternType="solid">
        <fgColor rgb="FFF5F5F5"/>
        <bgColor rgb="FFF0F0F0"/>
      </patternFill>
    </fill>
    <fill>
      <patternFill patternType="solid">
        <fgColor rgb="FFD44000"/>
        <bgColor rgb="FFC03028"/>
      </patternFill>
    </fill>
    <fill>
      <patternFill patternType="solid">
        <fgColor rgb="FF111111"/>
      </patternFill>
    </fill>
    <fill>
      <patternFill patternType="solid">
        <fgColor rgb="FF00AAAA"/>
        <bgColor indexed="21"/>
      </patternFill>
    </fill>
  </fills>
  <borders count="3">
    <border>
      <left style="none"/>
      <right style="none"/>
      <top style="none"/>
      <bottom style="none"/>
      <diagonal style="none"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56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center" vertical="center"/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Alignment="1" applyProtection="0">
      <alignment horizontal="center"/>
      <protection hidden="0" locked="1"/>
    </xf>
    <xf fontId="3" fillId="0" borderId="0" numFmtId="0" xfId="0" applyFont="1" applyProtection="0">
      <protection hidden="0" locked="1"/>
    </xf>
    <xf fontId="4" fillId="0" borderId="0" numFmtId="0" xfId="0" applyFont="1" applyAlignment="1" applyProtection="0">
      <alignment horizontal="center"/>
      <protection hidden="0" locked="1"/>
    </xf>
    <xf fontId="5" fillId="2" borderId="1" numFmtId="0" xfId="0" applyFont="1" applyFill="1" applyBorder="1" applyAlignment="1" applyProtection="0">
      <alignment horizontal="center" vertical="center"/>
      <protection hidden="0" locked="1"/>
    </xf>
    <xf fontId="6" fillId="3" borderId="2" numFmtId="0" xfId="0" applyFont="1" applyFill="1" applyBorder="1" applyAlignment="1" applyProtection="0">
      <alignment horizontal="center" vertical="center"/>
      <protection hidden="0" locked="1"/>
    </xf>
    <xf fontId="6" fillId="4" borderId="2" numFmtId="0" xfId="0" applyFont="1" applyFill="1" applyBorder="1" applyAlignment="1" applyProtection="0">
      <alignment horizontal="center" vertical="center"/>
      <protection hidden="0" locked="1"/>
    </xf>
    <xf fontId="7" fillId="0" borderId="2" numFmtId="164" xfId="0" applyNumberFormat="1" applyFont="1" applyBorder="1" applyAlignment="1" applyProtection="0">
      <alignment horizontal="center" vertical="center"/>
      <protection hidden="0" locked="1"/>
    </xf>
    <xf fontId="8" fillId="0" borderId="2" numFmtId="0" xfId="0" applyFont="1" applyBorder="1" applyAlignment="1" applyProtection="0">
      <alignment horizontal="center" vertical="center"/>
      <protection hidden="0" locked="1"/>
    </xf>
    <xf fontId="1" fillId="0" borderId="2" numFmtId="0" xfId="0" applyFont="1" applyBorder="1" applyAlignment="1" applyProtection="0">
      <alignment horizontal="center" vertical="center"/>
      <protection hidden="0" locked="1"/>
    </xf>
    <xf fontId="6" fillId="5" borderId="2" numFmtId="0" xfId="0" applyFont="1" applyFill="1" applyBorder="1" applyAlignment="1" applyProtection="0">
      <alignment horizontal="center" vertical="center"/>
      <protection hidden="0" locked="1"/>
    </xf>
    <xf fontId="6" fillId="6" borderId="2" numFmtId="0" xfId="0" applyFont="1" applyFill="1" applyBorder="1" applyAlignment="1" applyProtection="0">
      <alignment horizontal="center" vertical="center"/>
      <protection hidden="0" locked="1"/>
    </xf>
    <xf fontId="6" fillId="7" borderId="2" numFmtId="0" xfId="0" applyFont="1" applyFill="1" applyBorder="1" applyAlignment="1" applyProtection="0">
      <alignment horizontal="center" vertical="center"/>
      <protection hidden="0" locked="1"/>
    </xf>
    <xf fontId="6" fillId="8" borderId="2" numFmtId="0" xfId="0" applyFont="1" applyFill="1" applyBorder="1" applyAlignment="1" applyProtection="0">
      <alignment horizontal="center" vertical="center"/>
      <protection hidden="0" locked="1"/>
    </xf>
    <xf fontId="6" fillId="9" borderId="2" numFmtId="0" xfId="0" applyFont="1" applyFill="1" applyBorder="1" applyAlignment="1" applyProtection="0">
      <alignment horizontal="center" vertical="center"/>
      <protection hidden="0" locked="1"/>
    </xf>
    <xf fontId="6" fillId="10" borderId="2" numFmtId="0" xfId="0" applyFont="1" applyFill="1" applyBorder="1" applyAlignment="1" applyProtection="0">
      <alignment horizontal="center" vertical="center"/>
      <protection hidden="0" locked="1"/>
    </xf>
    <xf fontId="6" fillId="11" borderId="2" numFmtId="0" xfId="0" applyFont="1" applyFill="1" applyBorder="1" applyAlignment="1" applyProtection="0">
      <alignment horizontal="center" vertical="center"/>
      <protection hidden="0" locked="1"/>
    </xf>
    <xf fontId="6" fillId="12" borderId="2" numFmtId="0" xfId="0" applyFont="1" applyFill="1" applyBorder="1" applyAlignment="1" applyProtection="0">
      <alignment horizontal="center" vertical="center"/>
      <protection hidden="0" locked="1"/>
    </xf>
    <xf fontId="6" fillId="13" borderId="2" numFmtId="0" xfId="0" applyFont="1" applyFill="1" applyBorder="1" applyAlignment="1" applyProtection="0">
      <alignment horizontal="center" vertical="center"/>
      <protection hidden="0" locked="1"/>
    </xf>
    <xf fontId="6" fillId="14" borderId="2" numFmtId="0" xfId="0" applyFont="1" applyFill="1" applyBorder="1" applyAlignment="1" applyProtection="0">
      <alignment horizontal="center" vertical="center"/>
      <protection hidden="0" locked="1"/>
    </xf>
    <xf fontId="6" fillId="15" borderId="2" numFmtId="0" xfId="0" applyFont="1" applyFill="1" applyBorder="1" applyAlignment="1" applyProtection="0">
      <alignment horizontal="center" vertical="center"/>
      <protection hidden="0" locked="1"/>
    </xf>
    <xf fontId="6" fillId="16" borderId="2" numFmtId="0" xfId="0" applyFont="1" applyFill="1" applyBorder="1" applyAlignment="1" applyProtection="0">
      <alignment horizontal="center" vertical="center"/>
      <protection hidden="0" locked="1"/>
    </xf>
    <xf fontId="6" fillId="17" borderId="2" numFmtId="0" xfId="0" applyFont="1" applyFill="1" applyBorder="1" applyAlignment="1" applyProtection="0">
      <alignment horizontal="center" vertical="center"/>
      <protection hidden="0" locked="1"/>
    </xf>
    <xf fontId="6" fillId="18" borderId="2" numFmtId="0" xfId="0" applyFont="1" applyFill="1" applyBorder="1" applyAlignment="1" applyProtection="0">
      <alignment horizontal="center" vertical="center"/>
      <protection hidden="0" locked="1"/>
    </xf>
    <xf fontId="9" fillId="0" borderId="0" numFmtId="0" xfId="0" applyFont="1" applyAlignment="1" applyProtection="0">
      <alignment horizontal="center"/>
      <protection hidden="0" locked="1"/>
    </xf>
    <xf fontId="9" fillId="0" borderId="0" numFmtId="0" xfId="0" applyFont="1" applyProtection="0">
      <protection hidden="0" locked="1"/>
    </xf>
    <xf fontId="10" fillId="19" borderId="2" numFmtId="0" xfId="0" applyFont="1" applyFill="1" applyBorder="1" applyAlignment="1" applyProtection="0">
      <alignment horizontal="center" vertical="center"/>
      <protection hidden="0" locked="1"/>
    </xf>
    <xf fontId="10" fillId="4" borderId="2" numFmtId="0" xfId="0" applyFont="1" applyFill="1" applyBorder="1" applyAlignment="1" applyProtection="0">
      <alignment horizontal="center" vertical="center"/>
      <protection hidden="0" locked="1"/>
    </xf>
    <xf fontId="10" fillId="5" borderId="2" numFmtId="0" xfId="0" applyFont="1" applyFill="1" applyBorder="1" applyAlignment="1" applyProtection="0">
      <alignment horizontal="center" vertical="center"/>
      <protection hidden="0" locked="1"/>
    </xf>
    <xf fontId="10" fillId="6" borderId="2" numFmtId="0" xfId="0" applyFont="1" applyFill="1" applyBorder="1" applyAlignment="1" applyProtection="0">
      <alignment horizontal="center" vertical="center"/>
      <protection hidden="0" locked="1"/>
    </xf>
    <xf fontId="10" fillId="7" borderId="2" numFmtId="0" xfId="0" applyFont="1" applyFill="1" applyBorder="1" applyAlignment="1" applyProtection="0">
      <alignment horizontal="center" vertical="center"/>
      <protection hidden="0" locked="1"/>
    </xf>
    <xf fontId="10" fillId="8" borderId="2" numFmtId="0" xfId="0" applyFont="1" applyFill="1" applyBorder="1" applyAlignment="1" applyProtection="0">
      <alignment horizontal="center" vertical="center"/>
      <protection hidden="0" locked="1"/>
    </xf>
    <xf fontId="10" fillId="9" borderId="2" numFmtId="0" xfId="0" applyFont="1" applyFill="1" applyBorder="1" applyAlignment="1" applyProtection="0">
      <alignment horizontal="center" vertical="center"/>
      <protection hidden="0" locked="1"/>
    </xf>
    <xf fontId="10" fillId="10" borderId="2" numFmtId="0" xfId="0" applyFont="1" applyFill="1" applyBorder="1" applyAlignment="1" applyProtection="0">
      <alignment horizontal="center" vertical="center"/>
      <protection hidden="0" locked="1"/>
    </xf>
    <xf fontId="10" fillId="11" borderId="2" numFmtId="0" xfId="0" applyFont="1" applyFill="1" applyBorder="1" applyAlignment="1" applyProtection="0">
      <alignment horizontal="center" vertical="center"/>
      <protection hidden="0" locked="1"/>
    </xf>
    <xf fontId="10" fillId="12" borderId="2" numFmtId="0" xfId="0" applyFont="1" applyFill="1" applyBorder="1" applyAlignment="1" applyProtection="0">
      <alignment horizontal="center" vertical="center"/>
      <protection hidden="0" locked="1"/>
    </xf>
    <xf fontId="10" fillId="13" borderId="2" numFmtId="0" xfId="0" applyFont="1" applyFill="1" applyBorder="1" applyAlignment="1" applyProtection="0">
      <alignment horizontal="center" vertical="center"/>
      <protection hidden="0" locked="1"/>
    </xf>
    <xf fontId="10" fillId="14" borderId="2" numFmtId="0" xfId="0" applyFont="1" applyFill="1" applyBorder="1" applyAlignment="1" applyProtection="0">
      <alignment horizontal="center" vertical="center"/>
      <protection hidden="0" locked="1"/>
    </xf>
    <xf fontId="10" fillId="15" borderId="2" numFmtId="0" xfId="0" applyFont="1" applyFill="1" applyBorder="1" applyAlignment="1" applyProtection="0">
      <alignment horizontal="center" vertical="center"/>
      <protection hidden="0" locked="1"/>
    </xf>
    <xf fontId="10" fillId="16" borderId="2" numFmtId="0" xfId="0" applyFont="1" applyFill="1" applyBorder="1" applyAlignment="1" applyProtection="0">
      <alignment horizontal="center" vertical="center"/>
      <protection hidden="0" locked="1"/>
    </xf>
    <xf fontId="10" fillId="17" borderId="2" numFmtId="0" xfId="0" applyFont="1" applyFill="1" applyBorder="1" applyAlignment="1" applyProtection="0">
      <alignment horizontal="center" vertical="center"/>
      <protection hidden="0" locked="1"/>
    </xf>
    <xf fontId="10" fillId="18" borderId="2" numFmtId="0" xfId="0" applyFont="1" applyFill="1" applyBorder="1" applyAlignment="1" applyProtection="0">
      <alignment horizontal="center" vertical="center"/>
      <protection hidden="0" locked="1"/>
    </xf>
    <xf fontId="11" fillId="20" borderId="2" numFmtId="0" xfId="0" applyFont="1" applyFill="1" applyBorder="1" applyAlignment="1" applyProtection="0">
      <alignment horizontal="center" vertical="center"/>
      <protection hidden="0" locked="1"/>
    </xf>
    <xf fontId="6" fillId="21" borderId="2" numFmtId="0" xfId="0" applyFont="1" applyFill="1" applyBorder="1" applyAlignment="1" applyProtection="0">
      <alignment horizontal="center" vertical="center"/>
      <protection hidden="0" locked="1"/>
    </xf>
    <xf fontId="6" fillId="22" borderId="2" numFmtId="0" xfId="0" applyFont="1" applyFill="1" applyBorder="1" applyAlignment="1" applyProtection="0">
      <alignment horizontal="center" vertical="center"/>
      <protection hidden="0" locked="1"/>
    </xf>
    <xf fontId="12" fillId="23" borderId="2" numFmtId="0" xfId="0" applyFont="1" applyFill="1" applyBorder="1" applyAlignment="1" applyProtection="0">
      <alignment horizontal="center" vertical="center"/>
      <protection hidden="0" locked="1"/>
    </xf>
    <xf fontId="13" fillId="0" borderId="0" numFmtId="0" xfId="0" applyFont="1" applyProtection="0">
      <protection hidden="0" locked="1"/>
    </xf>
    <xf fontId="6" fillId="22" borderId="2" numFmtId="0" xfId="0" applyFont="1" applyFill="1" applyBorder="1" applyAlignment="1" applyProtection="0">
      <alignment horizontal="center"/>
      <protection hidden="0" locked="1"/>
    </xf>
    <xf fontId="1" fillId="0" borderId="0" numFmtId="0" xfId="0" applyFont="1" applyAlignment="1" applyProtection="0">
      <alignment horizontal="left" vertical="center"/>
      <protection hidden="0" locked="1"/>
    </xf>
    <xf fontId="6" fillId="21" borderId="2" numFmtId="0" xfId="0" applyFont="1" applyFill="1" applyBorder="1" applyAlignment="1" applyProtection="0">
      <alignment horizontal="center"/>
      <protection hidden="0" locked="1"/>
    </xf>
    <xf fontId="12" fillId="20" borderId="2" numFmtId="0" xfId="0" applyFont="1" applyFill="1" applyBorder="1" applyAlignment="1" applyProtection="0">
      <alignment horizontal="center"/>
      <protection hidden="0" locked="1"/>
    </xf>
    <xf fontId="12" fillId="23" borderId="2" numFmtId="0" xfId="0" applyFont="1" applyFill="1" applyBorder="1" applyAlignment="1" applyProtection="0">
      <alignment horizontal="center"/>
      <protection hidden="0" locked="1"/>
    </xf>
    <xf fontId="9" fillId="0" borderId="0" numFmtId="0" xfId="0" applyFont="1" applyAlignment="1" applyProtection="0">
      <alignment horizontal="left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1" width="13"/>
    <col customWidth="1" min="2" max="2" style="1" width="2"/>
    <col customWidth="1" min="3" max="3" style="1" width="14.57421875"/>
    <col customWidth="1" min="4" max="4" style="1" width="11.8515625"/>
    <col customWidth="1" min="5" max="5" style="1" width="10.28125"/>
    <col customWidth="1" min="6" max="6" style="1" width="13.57421875"/>
    <col customWidth="1" min="7" max="7" style="1" width="2"/>
    <col customWidth="1" min="8" max="8" style="1" width="13.00390625"/>
    <col customWidth="1" min="9" max="16" style="1" width="13"/>
  </cols>
  <sheetData>
    <row r="2" ht="25.5" customHeight="1">
      <c r="A2" s="2" t="s">
        <v>0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</row>
    <row r="3" ht="15" customHeight="1">
      <c r="A3" s="4" t="s">
        <v>1</v>
      </c>
      <c r="B3" s="4"/>
      <c r="C3" s="4"/>
      <c r="D3" s="4"/>
      <c r="E3" s="4"/>
      <c r="F3" s="4"/>
      <c r="G3" s="4"/>
      <c r="H3" s="4"/>
      <c r="I3" s="5"/>
      <c r="J3" s="5"/>
      <c r="K3" s="5"/>
      <c r="L3" s="5"/>
    </row>
    <row r="4" ht="7.5" customHeight="1"/>
    <row r="5" ht="30" customHeight="1">
      <c r="C5" s="6" t="s">
        <v>2</v>
      </c>
      <c r="D5" s="7" t="s">
        <v>3</v>
      </c>
      <c r="E5" s="6" t="s">
        <v>4</v>
      </c>
      <c r="F5" s="7" t="s">
        <v>5</v>
      </c>
    </row>
    <row r="6" ht="7.5" customHeight="1"/>
    <row r="7" ht="7.5" customHeight="1"/>
    <row r="8" ht="19.5" customHeight="1">
      <c r="C8" s="8" t="s">
        <v>6</v>
      </c>
      <c r="D8" s="8"/>
      <c r="E8" s="8" t="s">
        <v>7</v>
      </c>
      <c r="F8" s="8" t="s">
        <v>8</v>
      </c>
    </row>
    <row r="9" ht="21.75" customHeight="1">
      <c r="C9" s="9" t="s">
        <v>3</v>
      </c>
      <c r="D9" s="10">
        <f>INDEX($B$60:$P$60,MATCH($D$5,$B$59:$P$59,0))*IF(OR($F$5="",$F$5="(none)"),1,INDEX($B$60:$P$60,MATCH($F$5,$B$59:$P$59,0)))</f>
        <v>1</v>
      </c>
      <c r="E9" s="11" t="str">
        <f>IF(D9=0,"×0",IF(D9=0.25,"×¼",IF(D9=0.5,"×½",IF(D9=1,"×1",IF(D9=2,"×2",IF(D9=4,"×4","×"&amp;D9))))))</f>
        <v>×1</v>
      </c>
      <c r="F9" s="12" t="str">
        <f>IF(D9=0,"Immune",IF(D9&lt;1,"Resists",IF(D9=1,"Neutral","Weak to")))</f>
        <v>Neutral</v>
      </c>
    </row>
    <row r="10" ht="21.75" customHeight="1">
      <c r="C10" s="13" t="s">
        <v>9</v>
      </c>
      <c r="D10" s="10">
        <f>INDEX($B$61:$P$61,MATCH($D$5,$B$59:$P$59,0))*IF(OR($F$5="",$F$5="(none)"),1,INDEX($B$61:$P$61,MATCH($F$5,$B$59:$P$59,0)))</f>
        <v>1</v>
      </c>
      <c r="E10" s="11" t="str">
        <f t="shared" ref="E10:E23" si="0">IF(D10=0,"×0",IF(D10=0.25,"×¼",IF(D10=0.5,"×½",IF(D10=1,"×1",IF(D10=2,"×2",IF(D10=4,"×4","×"&amp;D10))))))</f>
        <v>×1</v>
      </c>
      <c r="F10" s="12" t="str">
        <f t="shared" ref="F10:F23" si="1">IF(D10=0,"Immune",IF(D10&lt;1,"Resists",IF(D10=1,"Neutral","Weak to")))</f>
        <v>Neutral</v>
      </c>
    </row>
    <row r="11" ht="21.75" customHeight="1">
      <c r="C11" s="14" t="s">
        <v>10</v>
      </c>
      <c r="D11" s="10">
        <f>INDEX($B$62:$P$62,MATCH($D$5,$B$59:$P$59,0))*IF(OR($F$5="",$F$5="(none)"),1,INDEX($B$62:$P$62,MATCH($F$5,$B$59:$P$59,0)))</f>
        <v>1</v>
      </c>
      <c r="E11" s="11" t="str">
        <f t="shared" si="0"/>
        <v>×1</v>
      </c>
      <c r="F11" s="12" t="str">
        <f t="shared" si="1"/>
        <v>Neutral</v>
      </c>
    </row>
    <row r="12" ht="21.75" customHeight="1">
      <c r="C12" s="15" t="s">
        <v>11</v>
      </c>
      <c r="D12" s="10">
        <f>INDEX($B$63:$P$63,MATCH($D$5,$B$59:$P$59,0))*IF(OR($F$5="",$F$5="(none)"),1,INDEX($B$63:$P$63,MATCH($F$5,$B$59:$P$59,0)))</f>
        <v>1</v>
      </c>
      <c r="E12" s="11" t="str">
        <f t="shared" si="0"/>
        <v>×1</v>
      </c>
      <c r="F12" s="12" t="str">
        <f t="shared" si="1"/>
        <v>Neutral</v>
      </c>
    </row>
    <row r="13" ht="21.75" customHeight="1">
      <c r="C13" s="16" t="s">
        <v>12</v>
      </c>
      <c r="D13" s="10">
        <f>INDEX($B$64:$P$64,MATCH($D$5,$B$59:$P$59,0))*IF(OR($F$5="",$F$5="(none)"),1,INDEX($B$64:$P$64,MATCH($F$5,$B$59:$P$59,0)))</f>
        <v>1</v>
      </c>
      <c r="E13" s="11" t="str">
        <f t="shared" si="0"/>
        <v>×1</v>
      </c>
      <c r="F13" s="12" t="str">
        <f t="shared" si="1"/>
        <v>Neutral</v>
      </c>
    </row>
    <row r="14" ht="21.75" customHeight="1">
      <c r="C14" s="17" t="s">
        <v>13</v>
      </c>
      <c r="D14" s="10">
        <f>INDEX($B$65:$P$65,MATCH($D$5,$B$59:$P$59,0))*IF(OR($F$5="",$F$5="(none)"),1,INDEX($B$65:$P$65,MATCH($F$5,$B$59:$P$59,0)))</f>
        <v>1</v>
      </c>
      <c r="E14" s="11" t="str">
        <f t="shared" si="0"/>
        <v>×1</v>
      </c>
      <c r="F14" s="12" t="str">
        <f t="shared" si="1"/>
        <v>Neutral</v>
      </c>
    </row>
    <row r="15" ht="21.75" customHeight="1">
      <c r="C15" s="18" t="s">
        <v>14</v>
      </c>
      <c r="D15" s="10">
        <f>INDEX($B$66:$P$66,MATCH($D$5,$B$59:$P$59,0))*IF(OR($F$5="",$F$5="(none)"),1,INDEX($B$66:$P$66,MATCH($F$5,$B$59:$P$59,0)))</f>
        <v>2</v>
      </c>
      <c r="E15" s="11" t="str">
        <f t="shared" si="0"/>
        <v>×2</v>
      </c>
      <c r="F15" s="12" t="str">
        <f t="shared" si="1"/>
        <v xml:space="preserve">Weak to</v>
      </c>
    </row>
    <row r="16" ht="21.75" customHeight="1">
      <c r="C16" s="19" t="s">
        <v>15</v>
      </c>
      <c r="D16" s="10">
        <f>INDEX($B$67:$P$67,MATCH($D$5,$B$59:$P$59,0))*IF(OR($F$5="",$F$5="(none)"),1,INDEX($B$67:$P$67,MATCH($F$5,$B$59:$P$59,0)))</f>
        <v>1</v>
      </c>
      <c r="E16" s="11" t="str">
        <f t="shared" si="0"/>
        <v>×1</v>
      </c>
      <c r="F16" s="12" t="str">
        <f t="shared" si="1"/>
        <v>Neutral</v>
      </c>
    </row>
    <row r="17" ht="21.75" customHeight="1">
      <c r="C17" s="20" t="s">
        <v>16</v>
      </c>
      <c r="D17" s="10">
        <f>INDEX($B$68:$P$68,MATCH($D$5,$B$59:$P$59,0))*IF(OR($F$5="",$F$5="(none)"),1,INDEX($B$68:$P$68,MATCH($F$5,$B$59:$P$59,0)))</f>
        <v>1</v>
      </c>
      <c r="E17" s="11" t="str">
        <f t="shared" si="0"/>
        <v>×1</v>
      </c>
      <c r="F17" s="12" t="str">
        <f t="shared" si="1"/>
        <v>Neutral</v>
      </c>
    </row>
    <row r="18" ht="21.75" customHeight="1">
      <c r="C18" s="21" t="s">
        <v>17</v>
      </c>
      <c r="D18" s="10">
        <f>INDEX($B$69:$P$69,MATCH($D$5,$B$59:$P$59,0))*IF(OR($F$5="",$F$5="(none)"),1,INDEX($B$69:$P$69,MATCH($F$5,$B$59:$P$59,0)))</f>
        <v>1</v>
      </c>
      <c r="E18" s="11" t="str">
        <f t="shared" si="0"/>
        <v>×1</v>
      </c>
      <c r="F18" s="12" t="str">
        <f t="shared" si="1"/>
        <v>Neutral</v>
      </c>
    </row>
    <row r="19" ht="21.75" customHeight="1">
      <c r="C19" s="22" t="s">
        <v>18</v>
      </c>
      <c r="D19" s="10">
        <f>INDEX($B$70:$P$70,MATCH($D$5,$B$59:$P$59,0))*IF(OR($F$5="",$F$5="(none)"),1,INDEX($B$70:$P$70,MATCH($F$5,$B$59:$P$59,0)))</f>
        <v>1</v>
      </c>
      <c r="E19" s="11" t="str">
        <f t="shared" si="0"/>
        <v>×1</v>
      </c>
      <c r="F19" s="12" t="str">
        <f t="shared" si="1"/>
        <v>Neutral</v>
      </c>
    </row>
    <row r="20" ht="21.75" customHeight="1">
      <c r="C20" s="23" t="s">
        <v>19</v>
      </c>
      <c r="D20" s="10">
        <f>INDEX($B$71:$P$71,MATCH($D$5,$B$59:$P$59,0))*IF(OR($F$5="",$F$5="(none)"),1,INDEX($B$71:$P$71,MATCH($F$5,$B$59:$P$59,0)))</f>
        <v>1</v>
      </c>
      <c r="E20" s="11" t="str">
        <f t="shared" si="0"/>
        <v>×1</v>
      </c>
      <c r="F20" s="12" t="str">
        <f t="shared" si="1"/>
        <v>Neutral</v>
      </c>
    </row>
    <row r="21" ht="21.75" customHeight="1">
      <c r="C21" s="24" t="s">
        <v>20</v>
      </c>
      <c r="D21" s="10">
        <f>INDEX($B$72:$P$72,MATCH($D$5,$B$59:$P$59,0))*IF(OR($F$5="",$F$5="(none)"),1,INDEX($B$72:$P$72,MATCH($F$5,$B$59:$P$59,0)))</f>
        <v>1</v>
      </c>
      <c r="E21" s="11" t="str">
        <f t="shared" si="0"/>
        <v>×1</v>
      </c>
      <c r="F21" s="12" t="str">
        <f t="shared" si="1"/>
        <v>Neutral</v>
      </c>
    </row>
    <row r="22" ht="21.75" customHeight="1">
      <c r="C22" s="25" t="s">
        <v>21</v>
      </c>
      <c r="D22" s="10">
        <f>INDEX($B$73:$P$73,MATCH($D$5,$B$59:$P$59,0))*IF(OR($F$5="",$F$5="(none)"),1,INDEX($B$73:$P$73,MATCH($F$5,$B$59:$P$59,0)))</f>
        <v>0</v>
      </c>
      <c r="E22" s="11" t="str">
        <f t="shared" si="0"/>
        <v>×0</v>
      </c>
      <c r="F22" s="12" t="str">
        <f t="shared" si="1"/>
        <v>Immune</v>
      </c>
    </row>
    <row r="23" ht="21.75" customHeight="1">
      <c r="C23" s="26" t="s">
        <v>22</v>
      </c>
      <c r="D23" s="10">
        <f>INDEX($B$74:$P$74,MATCH($D$5,$B$59:$P$59,0))*IF(OR($F$5="",$F$5="(none)"),1,INDEX($B$74:$P$74,MATCH($F$5,$B$59:$P$59,0)))</f>
        <v>1</v>
      </c>
      <c r="E23" s="11" t="str">
        <f t="shared" si="0"/>
        <v>×1</v>
      </c>
      <c r="F23" s="12" t="str">
        <f t="shared" si="1"/>
        <v>Neutral</v>
      </c>
    </row>
    <row r="25" ht="15" customHeight="1">
      <c r="A25" s="27" t="s">
        <v>23</v>
      </c>
      <c r="B25" s="27"/>
      <c r="C25" s="27"/>
      <c r="D25" s="27"/>
      <c r="E25" s="27"/>
      <c r="F25" s="27"/>
      <c r="G25" s="27"/>
      <c r="H25" s="27"/>
      <c r="I25" s="28"/>
      <c r="J25" s="28"/>
    </row>
    <row r="59" ht="15" customHeight="1">
      <c r="B59" s="1" t="s">
        <v>3</v>
      </c>
      <c r="C59" s="1" t="s">
        <v>9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17</v>
      </c>
      <c r="L59" s="1" t="s">
        <v>18</v>
      </c>
      <c r="M59" s="1" t="s">
        <v>19</v>
      </c>
      <c r="N59" s="1" t="s">
        <v>20</v>
      </c>
      <c r="O59" s="1" t="s">
        <v>21</v>
      </c>
      <c r="P59" s="1" t="s">
        <v>22</v>
      </c>
    </row>
    <row r="60" ht="15" customHeight="1">
      <c r="A60" s="1" t="s">
        <v>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0.5</v>
      </c>
      <c r="O60" s="1">
        <v>0</v>
      </c>
      <c r="P60" s="1">
        <v>1</v>
      </c>
    </row>
    <row r="61" ht="15" customHeight="1">
      <c r="A61" s="1" t="s">
        <v>9</v>
      </c>
      <c r="B61" s="1">
        <v>1</v>
      </c>
      <c r="C61" s="1">
        <v>0.5</v>
      </c>
      <c r="D61" s="1">
        <v>0.5</v>
      </c>
      <c r="E61" s="1">
        <v>1</v>
      </c>
      <c r="F61" s="1">
        <v>2</v>
      </c>
      <c r="G61" s="1">
        <v>2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2</v>
      </c>
      <c r="N61" s="1">
        <v>0.5</v>
      </c>
      <c r="O61" s="1">
        <v>1</v>
      </c>
      <c r="P61" s="1">
        <v>0.5</v>
      </c>
    </row>
    <row r="62" ht="15" customHeight="1">
      <c r="A62" s="1" t="s">
        <v>10</v>
      </c>
      <c r="B62" s="1">
        <v>1</v>
      </c>
      <c r="C62" s="1">
        <v>2</v>
      </c>
      <c r="D62" s="1">
        <v>0.5</v>
      </c>
      <c r="E62" s="1">
        <v>1</v>
      </c>
      <c r="F62" s="1">
        <v>0.5</v>
      </c>
      <c r="G62" s="1">
        <v>1</v>
      </c>
      <c r="H62" s="1">
        <v>1</v>
      </c>
      <c r="I62" s="1">
        <v>1</v>
      </c>
      <c r="J62" s="1">
        <v>2</v>
      </c>
      <c r="K62" s="1">
        <v>1</v>
      </c>
      <c r="L62" s="1">
        <v>1</v>
      </c>
      <c r="M62" s="1">
        <v>1</v>
      </c>
      <c r="N62" s="1">
        <v>2</v>
      </c>
      <c r="O62" s="1">
        <v>1</v>
      </c>
      <c r="P62" s="1">
        <v>0.5</v>
      </c>
    </row>
    <row r="63" ht="15" customHeight="1">
      <c r="A63" s="1" t="s">
        <v>11</v>
      </c>
      <c r="B63" s="1">
        <v>1</v>
      </c>
      <c r="C63" s="1">
        <v>1</v>
      </c>
      <c r="D63" s="1">
        <v>2</v>
      </c>
      <c r="E63" s="1">
        <v>0.5</v>
      </c>
      <c r="F63" s="1">
        <v>0.5</v>
      </c>
      <c r="G63" s="1">
        <v>1</v>
      </c>
      <c r="H63" s="1">
        <v>1</v>
      </c>
      <c r="I63" s="1">
        <v>1</v>
      </c>
      <c r="J63" s="1">
        <v>0</v>
      </c>
      <c r="K63" s="1">
        <v>2</v>
      </c>
      <c r="L63" s="1">
        <v>1</v>
      </c>
      <c r="M63" s="1">
        <v>1</v>
      </c>
      <c r="N63" s="1">
        <v>1</v>
      </c>
      <c r="O63" s="1">
        <v>1</v>
      </c>
      <c r="P63" s="1">
        <v>0.5</v>
      </c>
    </row>
    <row r="64" ht="15" customHeight="1">
      <c r="A64" s="1" t="s">
        <v>12</v>
      </c>
      <c r="B64" s="1">
        <v>1</v>
      </c>
      <c r="C64" s="1">
        <v>0.5</v>
      </c>
      <c r="D64" s="1">
        <v>2</v>
      </c>
      <c r="E64" s="1">
        <v>1</v>
      </c>
      <c r="F64" s="1">
        <v>0.5</v>
      </c>
      <c r="G64" s="1">
        <v>1</v>
      </c>
      <c r="H64" s="1">
        <v>1</v>
      </c>
      <c r="I64" s="1">
        <v>0.5</v>
      </c>
      <c r="J64" s="1">
        <v>2</v>
      </c>
      <c r="K64" s="1">
        <v>0.5</v>
      </c>
      <c r="L64" s="1">
        <v>1</v>
      </c>
      <c r="M64" s="1">
        <v>0.5</v>
      </c>
      <c r="N64" s="1">
        <v>2</v>
      </c>
      <c r="O64" s="1">
        <v>1</v>
      </c>
      <c r="P64" s="1">
        <v>0.5</v>
      </c>
    </row>
    <row r="65" ht="15" customHeight="1">
      <c r="A65" s="1" t="s">
        <v>13</v>
      </c>
      <c r="B65" s="1">
        <v>1</v>
      </c>
      <c r="C65" s="1">
        <v>1</v>
      </c>
      <c r="D65" s="1">
        <v>0.5</v>
      </c>
      <c r="E65" s="1">
        <v>1</v>
      </c>
      <c r="F65" s="1">
        <v>2</v>
      </c>
      <c r="G65" s="1">
        <v>0.5</v>
      </c>
      <c r="H65" s="1">
        <v>1</v>
      </c>
      <c r="I65" s="1">
        <v>1</v>
      </c>
      <c r="J65" s="1">
        <v>2</v>
      </c>
      <c r="K65" s="1">
        <v>2</v>
      </c>
      <c r="L65" s="1">
        <v>1</v>
      </c>
      <c r="M65" s="1">
        <v>1</v>
      </c>
      <c r="N65" s="1">
        <v>1</v>
      </c>
      <c r="O65" s="1">
        <v>1</v>
      </c>
      <c r="P65" s="1">
        <v>2</v>
      </c>
    </row>
    <row r="66" ht="15" customHeight="1">
      <c r="A66" s="1" t="s">
        <v>14</v>
      </c>
      <c r="B66" s="1">
        <v>2</v>
      </c>
      <c r="C66" s="1">
        <v>1</v>
      </c>
      <c r="D66" s="1">
        <v>1</v>
      </c>
      <c r="E66" s="1">
        <v>1</v>
      </c>
      <c r="F66" s="1">
        <v>1</v>
      </c>
      <c r="G66" s="1">
        <v>2</v>
      </c>
      <c r="H66" s="1">
        <v>1</v>
      </c>
      <c r="I66" s="1">
        <v>0.5</v>
      </c>
      <c r="J66" s="1">
        <v>1</v>
      </c>
      <c r="K66" s="1">
        <v>0.5</v>
      </c>
      <c r="L66" s="1">
        <v>0.5</v>
      </c>
      <c r="M66" s="1">
        <v>0.5</v>
      </c>
      <c r="N66" s="1">
        <v>2</v>
      </c>
      <c r="O66" s="1">
        <v>0</v>
      </c>
      <c r="P66" s="1">
        <v>1</v>
      </c>
    </row>
    <row r="67" ht="15" customHeight="1">
      <c r="A67" s="1" t="s">
        <v>15</v>
      </c>
      <c r="B67" s="1">
        <v>1</v>
      </c>
      <c r="C67" s="1">
        <v>1</v>
      </c>
      <c r="D67" s="1">
        <v>1</v>
      </c>
      <c r="E67" s="1">
        <v>1</v>
      </c>
      <c r="F67" s="1">
        <v>2</v>
      </c>
      <c r="G67" s="1">
        <v>1</v>
      </c>
      <c r="H67" s="1">
        <v>1</v>
      </c>
      <c r="I67" s="1">
        <v>0.5</v>
      </c>
      <c r="J67" s="1">
        <v>0.5</v>
      </c>
      <c r="K67" s="1">
        <v>1</v>
      </c>
      <c r="L67" s="1">
        <v>1</v>
      </c>
      <c r="M67" s="1">
        <v>2</v>
      </c>
      <c r="N67" s="1">
        <v>0.5</v>
      </c>
      <c r="O67" s="1">
        <v>0.5</v>
      </c>
      <c r="P67" s="1">
        <v>1</v>
      </c>
    </row>
    <row r="68" ht="15" customHeight="1">
      <c r="A68" s="1" t="s">
        <v>16</v>
      </c>
      <c r="B68" s="1">
        <v>1</v>
      </c>
      <c r="C68" s="1">
        <v>2</v>
      </c>
      <c r="D68" s="1">
        <v>1</v>
      </c>
      <c r="E68" s="1">
        <v>2</v>
      </c>
      <c r="F68" s="1">
        <v>0.5</v>
      </c>
      <c r="G68" s="1">
        <v>1</v>
      </c>
      <c r="H68" s="1">
        <v>1</v>
      </c>
      <c r="I68" s="1">
        <v>2</v>
      </c>
      <c r="J68" s="1">
        <v>1</v>
      </c>
      <c r="K68" s="1">
        <v>0</v>
      </c>
      <c r="L68" s="1">
        <v>1</v>
      </c>
      <c r="M68" s="1">
        <v>0.5</v>
      </c>
      <c r="N68" s="1">
        <v>2</v>
      </c>
      <c r="O68" s="1">
        <v>1</v>
      </c>
      <c r="P68" s="1">
        <v>1</v>
      </c>
    </row>
    <row r="69" ht="15" customHeight="1">
      <c r="A69" s="1" t="s">
        <v>17</v>
      </c>
      <c r="B69" s="1">
        <v>1</v>
      </c>
      <c r="C69" s="1">
        <v>1</v>
      </c>
      <c r="D69" s="1">
        <v>1</v>
      </c>
      <c r="E69" s="1">
        <v>0.5</v>
      </c>
      <c r="F69" s="1">
        <v>2</v>
      </c>
      <c r="G69" s="1">
        <v>1</v>
      </c>
      <c r="H69" s="1">
        <v>2</v>
      </c>
      <c r="I69" s="1">
        <v>1</v>
      </c>
      <c r="J69" s="1">
        <v>1</v>
      </c>
      <c r="K69" s="1">
        <v>1</v>
      </c>
      <c r="L69" s="1">
        <v>1</v>
      </c>
      <c r="M69" s="1">
        <v>2</v>
      </c>
      <c r="N69" s="1">
        <v>0.5</v>
      </c>
      <c r="O69" s="1">
        <v>1</v>
      </c>
      <c r="P69" s="1">
        <v>1</v>
      </c>
    </row>
    <row r="70" ht="15" customHeight="1">
      <c r="A70" s="1" t="s">
        <v>18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2</v>
      </c>
      <c r="I70" s="1">
        <v>2</v>
      </c>
      <c r="J70" s="1">
        <v>1</v>
      </c>
      <c r="K70" s="1">
        <v>1</v>
      </c>
      <c r="L70" s="1">
        <v>0.5</v>
      </c>
      <c r="M70" s="1">
        <v>1</v>
      </c>
      <c r="N70" s="1">
        <v>1</v>
      </c>
      <c r="O70" s="1">
        <v>1</v>
      </c>
      <c r="P70" s="1">
        <v>1</v>
      </c>
    </row>
    <row r="71" ht="15" customHeight="1">
      <c r="A71" s="1" t="s">
        <v>19</v>
      </c>
      <c r="B71" s="1">
        <v>1</v>
      </c>
      <c r="C71" s="1">
        <v>0.5</v>
      </c>
      <c r="D71" s="1">
        <v>1</v>
      </c>
      <c r="E71" s="1">
        <v>1</v>
      </c>
      <c r="F71" s="1">
        <v>2</v>
      </c>
      <c r="G71" s="1">
        <v>1</v>
      </c>
      <c r="H71" s="1">
        <v>0.5</v>
      </c>
      <c r="I71" s="1">
        <v>2</v>
      </c>
      <c r="J71" s="1">
        <v>1</v>
      </c>
      <c r="K71" s="1">
        <v>0.5</v>
      </c>
      <c r="L71" s="1">
        <v>2</v>
      </c>
      <c r="M71" s="1">
        <v>1</v>
      </c>
      <c r="N71" s="1">
        <v>1</v>
      </c>
      <c r="O71" s="1">
        <v>0.5</v>
      </c>
      <c r="P71" s="1">
        <v>1</v>
      </c>
    </row>
    <row r="72" ht="15" customHeight="1">
      <c r="A72" s="1" t="s">
        <v>20</v>
      </c>
      <c r="B72" s="1">
        <v>1</v>
      </c>
      <c r="C72" s="1">
        <v>2</v>
      </c>
      <c r="D72" s="1">
        <v>1</v>
      </c>
      <c r="E72" s="1">
        <v>1</v>
      </c>
      <c r="F72" s="1">
        <v>1</v>
      </c>
      <c r="G72" s="1">
        <v>2</v>
      </c>
      <c r="H72" s="1">
        <v>0.5</v>
      </c>
      <c r="I72" s="1">
        <v>1</v>
      </c>
      <c r="J72" s="1">
        <v>0.5</v>
      </c>
      <c r="K72" s="1">
        <v>2</v>
      </c>
      <c r="L72" s="1">
        <v>1</v>
      </c>
      <c r="M72" s="1">
        <v>2</v>
      </c>
      <c r="N72" s="1">
        <v>1</v>
      </c>
      <c r="O72" s="1">
        <v>1</v>
      </c>
      <c r="P72" s="1">
        <v>1</v>
      </c>
    </row>
    <row r="73" ht="15" customHeight="1">
      <c r="A73" s="1" t="s">
        <v>21</v>
      </c>
      <c r="B73" s="1">
        <v>0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2</v>
      </c>
      <c r="M73" s="1">
        <v>1</v>
      </c>
      <c r="N73" s="1">
        <v>1</v>
      </c>
      <c r="O73" s="1">
        <v>2</v>
      </c>
      <c r="P73" s="1">
        <v>1</v>
      </c>
    </row>
    <row r="74" ht="15" customHeight="1">
      <c r="A74" s="1" t="s">
        <v>22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2</v>
      </c>
    </row>
  </sheetData>
  <mergeCells count="3">
    <mergeCell ref="A2:H2"/>
    <mergeCell ref="A3:H3"/>
    <mergeCell ref="A25:H25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aboveAverage="0" rank="0" text="" id="{003900B6-0008-489B-9787-0050001800EA}">
            <xm:f>$D9=0</xm:f>
            <x14:dxf>
              <font>
                <b/>
                <sz val="12.000000"/>
                <color indexed="65"/>
                <name val="Arial"/>
              </font>
              <fill>
                <patternFill patternType="solid">
                  <fgColor rgb="FF111111"/>
                  <bgColor rgb="FF111111"/>
                </patternFill>
              </fill>
            </x14:dxf>
          </x14:cfRule>
          <xm:sqref>E9:E23</xm:sqref>
        </x14:conditionalFormatting>
        <x14:conditionalFormatting xmlns:xm="http://schemas.microsoft.com/office/excel/2006/main">
          <x14:cfRule type="expression" priority="3" aboveAverage="0" rank="0" text="" id="{009B00EA-00F5-4C32-A65D-00CF006D005A}">
            <xm:f>AND($D9&gt;0,$D9&lt;1)</xm:f>
            <x14:dxf>
              <font>
                <b/>
                <sz val="12.000000"/>
                <color indexed="65"/>
                <name val="Arial"/>
              </font>
              <fill>
                <patternFill patternType="solid">
                  <fgColor rgb="FFD44000"/>
                  <bgColor rgb="FFD44000"/>
                </patternFill>
              </fill>
            </x14:dxf>
          </x14:cfRule>
          <xm:sqref>E9:E23</xm:sqref>
        </x14:conditionalFormatting>
        <x14:conditionalFormatting xmlns:xm="http://schemas.microsoft.com/office/excel/2006/main">
          <x14:cfRule type="expression" priority="4" aboveAverage="0" rank="0" text="" id="{00A800A3-0001-4093-9EB7-00AA002B0090}">
            <xm:f>$D9=1</xm:f>
            <x14:dxf>
              <font>
                <sz val="12.000000"/>
                <color rgb="FF888888"/>
                <name val="Arial"/>
              </font>
              <fill>
                <patternFill patternType="solid">
                  <fgColor rgb="FFF0F0F0"/>
                  <bgColor rgb="FFF0F0F0"/>
                </patternFill>
              </fill>
            </x14:dxf>
          </x14:cfRule>
          <xm:sqref>E9:E23</xm:sqref>
        </x14:conditionalFormatting>
        <x14:conditionalFormatting xmlns:xm="http://schemas.microsoft.com/office/excel/2006/main">
          <x14:cfRule type="expression" priority="5" aboveAverage="0" rank="0" text="" id="{0078008E-00E5-448D-8104-00A900C60062}">
            <xm:f>$D9&gt;1</xm:f>
            <x14:dxf>
              <font>
                <b/>
                <sz val="12.000000"/>
                <color indexed="65"/>
                <name val="Arial"/>
              </font>
              <fill>
                <patternFill patternType="solid">
                  <fgColor rgb="FF00AAAA"/>
                  <bgColor rgb="FF00AAAA"/>
                </patternFill>
              </fill>
            </x14:dxf>
          </x14:cfRule>
          <xm:sqref>E9:E23</xm:sqref>
        </x14:conditionalFormatting>
        <x14:conditionalFormatting xmlns:xm="http://schemas.microsoft.com/office/excel/2006/main">
          <x14:cfRule type="expression" priority="6" aboveAverage="0" rank="0" text="" id="{004100D2-004B-49E7-878E-009500DF00FE}">
            <xm:f>$D9=0</xm:f>
            <x14:dxf>
              <font>
                <b/>
                <sz val="10.000000"/>
                <color indexed="65"/>
                <name val="Arial"/>
              </font>
              <fill>
                <patternFill patternType="solid">
                  <fgColor rgb="FF111111"/>
                  <bgColor rgb="FF111111"/>
                </patternFill>
              </fill>
            </x14:dxf>
          </x14:cfRule>
          <xm:sqref>F9:F23</xm:sqref>
        </x14:conditionalFormatting>
        <x14:conditionalFormatting xmlns:xm="http://schemas.microsoft.com/office/excel/2006/main">
          <x14:cfRule type="expression" priority="7" aboveAverage="0" rank="0" text="" id="{00280085-00D7-4297-B5F3-00ED00A200B8}">
            <xm:f>AND($D9&gt;0,$D9&lt;1)</xm:f>
            <x14:dxf>
              <font>
                <b/>
                <sz val="10.000000"/>
                <color indexed="65"/>
                <name val="Arial"/>
              </font>
              <fill>
                <patternFill patternType="solid">
                  <fgColor rgb="FFD44000"/>
                  <bgColor rgb="FFD44000"/>
                </patternFill>
              </fill>
            </x14:dxf>
          </x14:cfRule>
          <xm:sqref>F9:F23</xm:sqref>
        </x14:conditionalFormatting>
        <x14:conditionalFormatting xmlns:xm="http://schemas.microsoft.com/office/excel/2006/main">
          <x14:cfRule type="expression" priority="8" aboveAverage="0" rank="0" text="" id="{0093003E-00A4-4531-979B-000100300002}">
            <xm:f>$D9=1</xm:f>
            <x14:dxf>
              <font>
                <sz val="10.000000"/>
                <color rgb="FF888888"/>
                <name val="Arial"/>
              </font>
              <fill>
                <patternFill patternType="solid">
                  <fgColor rgb="FFF0F0F0"/>
                  <bgColor rgb="FFF0F0F0"/>
                </patternFill>
              </fill>
            </x14:dxf>
          </x14:cfRule>
          <xm:sqref>F9:F23</xm:sqref>
        </x14:conditionalFormatting>
        <x14:conditionalFormatting xmlns:xm="http://schemas.microsoft.com/office/excel/2006/main">
          <x14:cfRule type="expression" priority="9" aboveAverage="0" rank="0" text="" id="{00CB0070-00E0-41CD-B7B2-005200E7006A}">
            <xm:f>$D9&gt;1</xm:f>
            <x14:dxf>
              <font>
                <b/>
                <sz val="10.000000"/>
                <color indexed="65"/>
                <name val="Arial"/>
              </font>
              <fill>
                <patternFill patternType="solid">
                  <fgColor rgb="FF00AAAA"/>
                  <bgColor rgb="FF00AAAA"/>
                </patternFill>
              </fill>
            </x14:dxf>
          </x14:cfRule>
          <xm:sqref>F9:F23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800E8-0037-4B50-91DD-0064000500BF}" type="list" allowBlank="0" errorStyle="stop" imeMode="noControl" operator="between" showDropDown="0" showErrorMessage="0" showInputMessage="0">
          <x14:formula1>
            <xm:f>"Normal,Fire,Water,Electric,Grass,Ice,Fighting,Poison,Ground,Flying,Psychic,Bug,Rock,Ghost,Dragon"</xm:f>
          </x14:formula1>
          <x14:formula2>
            <xm:f>0</xm:f>
          </x14:formula2>
          <xm:sqref>D5</xm:sqref>
        </x14:dataValidation>
        <x14:dataValidation xr:uid="{00AF0098-0078-41AD-8EE0-00F200D500D9}" type="list" allowBlank="1" errorStyle="stop" imeMode="noControl" operator="between" showDropDown="0" showErrorMessage="0" showInputMessage="0">
          <x14:formula1>
            <xm:f>"(none),Normal,Fire,Water,Electric,Grass,Ice,Fighting,Poison,Ground,Flying,Psychic,Bug,Rock,Ghost,Dragon"</xm:f>
          </x14:formula1>
          <x14:formula2>
            <xm:f>0</xm:f>
          </x14:formula2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xSplit="2" ySplit="2" topLeftCell="C3" activePane="bottomRight" state="frozen"/>
      <selection activeCell="A1" activeCellId="0" sqref="A1"/>
    </sheetView>
  </sheetViews>
  <sheetFormatPr defaultColWidth="8.6796875" defaultRowHeight="14.25"/>
  <cols>
    <col customWidth="1" min="1" max="1" style="1" width="1"/>
    <col customWidth="1" min="2" max="2" style="1" width="11"/>
    <col customWidth="1" min="3" max="17" style="1" width="8"/>
  </cols>
  <sheetData>
    <row r="1" ht="4.5" customHeight="1"/>
    <row r="2" ht="27.75" customHeight="1">
      <c r="B2" s="29" t="s">
        <v>24</v>
      </c>
      <c r="C2" s="30" t="s">
        <v>3</v>
      </c>
      <c r="D2" s="31" t="s">
        <v>9</v>
      </c>
      <c r="E2" s="32" t="s">
        <v>10</v>
      </c>
      <c r="F2" s="33" t="s">
        <v>11</v>
      </c>
      <c r="G2" s="34" t="s">
        <v>12</v>
      </c>
      <c r="H2" s="35" t="s">
        <v>13</v>
      </c>
      <c r="I2" s="36" t="s">
        <v>14</v>
      </c>
      <c r="J2" s="37" t="s">
        <v>15</v>
      </c>
      <c r="K2" s="38" t="s">
        <v>16</v>
      </c>
      <c r="L2" s="39" t="s">
        <v>17</v>
      </c>
      <c r="M2" s="40" t="s">
        <v>18</v>
      </c>
      <c r="N2" s="41" t="s">
        <v>19</v>
      </c>
      <c r="O2" s="42" t="s">
        <v>20</v>
      </c>
      <c r="P2" s="43" t="s">
        <v>21</v>
      </c>
      <c r="Q2" s="44" t="s">
        <v>22</v>
      </c>
    </row>
    <row r="3" ht="21.75" customHeight="1">
      <c r="B3" s="30" t="s">
        <v>3</v>
      </c>
      <c r="C3" s="45" t="s">
        <v>25</v>
      </c>
      <c r="D3" s="45" t="s">
        <v>25</v>
      </c>
      <c r="E3" s="45" t="s">
        <v>25</v>
      </c>
      <c r="F3" s="45" t="s">
        <v>25</v>
      </c>
      <c r="G3" s="45" t="s">
        <v>25</v>
      </c>
      <c r="H3" s="45" t="s">
        <v>25</v>
      </c>
      <c r="I3" s="45" t="s">
        <v>25</v>
      </c>
      <c r="J3" s="45" t="s">
        <v>25</v>
      </c>
      <c r="K3" s="45" t="s">
        <v>25</v>
      </c>
      <c r="L3" s="45" t="s">
        <v>25</v>
      </c>
      <c r="M3" s="45" t="s">
        <v>25</v>
      </c>
      <c r="N3" s="45" t="s">
        <v>25</v>
      </c>
      <c r="O3" s="46" t="s">
        <v>26</v>
      </c>
      <c r="P3" s="47" t="s">
        <v>27</v>
      </c>
      <c r="Q3" s="45" t="s">
        <v>25</v>
      </c>
    </row>
    <row r="4" ht="21.75" customHeight="1">
      <c r="B4" s="31" t="s">
        <v>9</v>
      </c>
      <c r="C4" s="45" t="s">
        <v>25</v>
      </c>
      <c r="D4" s="46" t="s">
        <v>26</v>
      </c>
      <c r="E4" s="46" t="s">
        <v>26</v>
      </c>
      <c r="F4" s="45" t="s">
        <v>25</v>
      </c>
      <c r="G4" s="48" t="s">
        <v>28</v>
      </c>
      <c r="H4" s="48" t="s">
        <v>28</v>
      </c>
      <c r="I4" s="45" t="s">
        <v>25</v>
      </c>
      <c r="J4" s="45" t="s">
        <v>25</v>
      </c>
      <c r="K4" s="45" t="s">
        <v>25</v>
      </c>
      <c r="L4" s="45" t="s">
        <v>25</v>
      </c>
      <c r="M4" s="45" t="s">
        <v>25</v>
      </c>
      <c r="N4" s="48" t="s">
        <v>28</v>
      </c>
      <c r="O4" s="46" t="s">
        <v>26</v>
      </c>
      <c r="P4" s="45" t="s">
        <v>25</v>
      </c>
      <c r="Q4" s="46" t="s">
        <v>26</v>
      </c>
    </row>
    <row r="5" ht="21.75" customHeight="1">
      <c r="B5" s="32" t="s">
        <v>10</v>
      </c>
      <c r="C5" s="45" t="s">
        <v>25</v>
      </c>
      <c r="D5" s="48" t="s">
        <v>28</v>
      </c>
      <c r="E5" s="46" t="s">
        <v>26</v>
      </c>
      <c r="F5" s="45" t="s">
        <v>25</v>
      </c>
      <c r="G5" s="46" t="s">
        <v>26</v>
      </c>
      <c r="H5" s="45" t="s">
        <v>25</v>
      </c>
      <c r="I5" s="45" t="s">
        <v>25</v>
      </c>
      <c r="J5" s="45" t="s">
        <v>25</v>
      </c>
      <c r="K5" s="48" t="s">
        <v>28</v>
      </c>
      <c r="L5" s="45" t="s">
        <v>25</v>
      </c>
      <c r="M5" s="45" t="s">
        <v>25</v>
      </c>
      <c r="N5" s="45" t="s">
        <v>25</v>
      </c>
      <c r="O5" s="48" t="s">
        <v>28</v>
      </c>
      <c r="P5" s="45" t="s">
        <v>25</v>
      </c>
      <c r="Q5" s="46" t="s">
        <v>26</v>
      </c>
    </row>
    <row r="6" ht="21.75" customHeight="1">
      <c r="B6" s="33" t="s">
        <v>11</v>
      </c>
      <c r="C6" s="45" t="s">
        <v>25</v>
      </c>
      <c r="D6" s="45" t="s">
        <v>25</v>
      </c>
      <c r="E6" s="48" t="s">
        <v>28</v>
      </c>
      <c r="F6" s="46" t="s">
        <v>26</v>
      </c>
      <c r="G6" s="46" t="s">
        <v>26</v>
      </c>
      <c r="H6" s="45" t="s">
        <v>25</v>
      </c>
      <c r="I6" s="45" t="s">
        <v>25</v>
      </c>
      <c r="J6" s="45" t="s">
        <v>25</v>
      </c>
      <c r="K6" s="47" t="s">
        <v>27</v>
      </c>
      <c r="L6" s="48" t="s">
        <v>28</v>
      </c>
      <c r="M6" s="45" t="s">
        <v>25</v>
      </c>
      <c r="N6" s="45" t="s">
        <v>25</v>
      </c>
      <c r="O6" s="45" t="s">
        <v>25</v>
      </c>
      <c r="P6" s="45" t="s">
        <v>25</v>
      </c>
      <c r="Q6" s="46" t="s">
        <v>26</v>
      </c>
    </row>
    <row r="7" ht="21.75" customHeight="1">
      <c r="B7" s="34" t="s">
        <v>12</v>
      </c>
      <c r="C7" s="45" t="s">
        <v>25</v>
      </c>
      <c r="D7" s="46" t="s">
        <v>26</v>
      </c>
      <c r="E7" s="48" t="s">
        <v>28</v>
      </c>
      <c r="F7" s="45" t="s">
        <v>25</v>
      </c>
      <c r="G7" s="46" t="s">
        <v>26</v>
      </c>
      <c r="H7" s="45" t="s">
        <v>25</v>
      </c>
      <c r="I7" s="45" t="s">
        <v>25</v>
      </c>
      <c r="J7" s="46" t="s">
        <v>26</v>
      </c>
      <c r="K7" s="48" t="s">
        <v>28</v>
      </c>
      <c r="L7" s="46" t="s">
        <v>26</v>
      </c>
      <c r="M7" s="45" t="s">
        <v>25</v>
      </c>
      <c r="N7" s="46" t="s">
        <v>26</v>
      </c>
      <c r="O7" s="48" t="s">
        <v>28</v>
      </c>
      <c r="P7" s="45" t="s">
        <v>25</v>
      </c>
      <c r="Q7" s="46" t="s">
        <v>26</v>
      </c>
    </row>
    <row r="8" ht="21.75" customHeight="1">
      <c r="B8" s="35" t="s">
        <v>13</v>
      </c>
      <c r="C8" s="45" t="s">
        <v>25</v>
      </c>
      <c r="D8" s="45">
        <v>1</v>
      </c>
      <c r="E8" s="46" t="s">
        <v>26</v>
      </c>
      <c r="F8" s="45" t="s">
        <v>25</v>
      </c>
      <c r="G8" s="48" t="s">
        <v>28</v>
      </c>
      <c r="H8" s="46" t="s">
        <v>26</v>
      </c>
      <c r="I8" s="45" t="s">
        <v>25</v>
      </c>
      <c r="J8" s="45" t="s">
        <v>25</v>
      </c>
      <c r="K8" s="48" t="s">
        <v>28</v>
      </c>
      <c r="L8" s="48" t="s">
        <v>28</v>
      </c>
      <c r="M8" s="45" t="s">
        <v>25</v>
      </c>
      <c r="N8" s="45" t="s">
        <v>25</v>
      </c>
      <c r="O8" s="45" t="s">
        <v>25</v>
      </c>
      <c r="P8" s="45" t="s">
        <v>25</v>
      </c>
      <c r="Q8" s="48" t="s">
        <v>28</v>
      </c>
    </row>
    <row r="9" ht="21.75" customHeight="1">
      <c r="B9" s="36" t="s">
        <v>14</v>
      </c>
      <c r="C9" s="48" t="s">
        <v>28</v>
      </c>
      <c r="D9" s="45" t="s">
        <v>25</v>
      </c>
      <c r="E9" s="45" t="s">
        <v>25</v>
      </c>
      <c r="F9" s="45" t="s">
        <v>25</v>
      </c>
      <c r="G9" s="45" t="s">
        <v>25</v>
      </c>
      <c r="H9" s="48" t="s">
        <v>28</v>
      </c>
      <c r="I9" s="45" t="s">
        <v>25</v>
      </c>
      <c r="J9" s="46" t="s">
        <v>26</v>
      </c>
      <c r="K9" s="45" t="s">
        <v>25</v>
      </c>
      <c r="L9" s="46" t="s">
        <v>26</v>
      </c>
      <c r="M9" s="46" t="s">
        <v>26</v>
      </c>
      <c r="N9" s="46" t="s">
        <v>26</v>
      </c>
      <c r="O9" s="48" t="s">
        <v>28</v>
      </c>
      <c r="P9" s="47" t="s">
        <v>27</v>
      </c>
      <c r="Q9" s="45" t="s">
        <v>25</v>
      </c>
    </row>
    <row r="10" ht="21.75" customHeight="1">
      <c r="B10" s="37" t="s">
        <v>15</v>
      </c>
      <c r="C10" s="45" t="s">
        <v>25</v>
      </c>
      <c r="D10" s="45" t="s">
        <v>25</v>
      </c>
      <c r="E10" s="45" t="s">
        <v>25</v>
      </c>
      <c r="F10" s="45" t="s">
        <v>25</v>
      </c>
      <c r="G10" s="48" t="s">
        <v>28</v>
      </c>
      <c r="H10" s="45" t="s">
        <v>25</v>
      </c>
      <c r="I10" s="45" t="s">
        <v>25</v>
      </c>
      <c r="J10" s="46" t="s">
        <v>26</v>
      </c>
      <c r="K10" s="46" t="s">
        <v>26</v>
      </c>
      <c r="L10" s="45" t="s">
        <v>25</v>
      </c>
      <c r="M10" s="45" t="s">
        <v>25</v>
      </c>
      <c r="N10" s="48" t="s">
        <v>28</v>
      </c>
      <c r="O10" s="46" t="s">
        <v>26</v>
      </c>
      <c r="P10" s="46" t="s">
        <v>26</v>
      </c>
      <c r="Q10" s="45" t="s">
        <v>25</v>
      </c>
    </row>
    <row r="11" ht="21.75" customHeight="1">
      <c r="B11" s="38" t="s">
        <v>16</v>
      </c>
      <c r="C11" s="45" t="s">
        <v>25</v>
      </c>
      <c r="D11" s="48" t="s">
        <v>28</v>
      </c>
      <c r="E11" s="45" t="s">
        <v>25</v>
      </c>
      <c r="F11" s="48" t="s">
        <v>28</v>
      </c>
      <c r="G11" s="46" t="s">
        <v>26</v>
      </c>
      <c r="H11" s="45" t="s">
        <v>25</v>
      </c>
      <c r="I11" s="45" t="s">
        <v>25</v>
      </c>
      <c r="J11" s="48" t="s">
        <v>28</v>
      </c>
      <c r="K11" s="45" t="s">
        <v>25</v>
      </c>
      <c r="L11" s="47" t="s">
        <v>27</v>
      </c>
      <c r="M11" s="45" t="s">
        <v>25</v>
      </c>
      <c r="N11" s="46" t="s">
        <v>26</v>
      </c>
      <c r="O11" s="48" t="s">
        <v>28</v>
      </c>
      <c r="P11" s="45" t="s">
        <v>25</v>
      </c>
      <c r="Q11" s="45" t="s">
        <v>25</v>
      </c>
    </row>
    <row r="12" ht="21.75" customHeight="1">
      <c r="B12" s="39" t="s">
        <v>17</v>
      </c>
      <c r="C12" s="45" t="s">
        <v>25</v>
      </c>
      <c r="D12" s="45" t="s">
        <v>25</v>
      </c>
      <c r="E12" s="45" t="s">
        <v>25</v>
      </c>
      <c r="F12" s="46" t="s">
        <v>26</v>
      </c>
      <c r="G12" s="48" t="s">
        <v>28</v>
      </c>
      <c r="H12" s="45" t="s">
        <v>25</v>
      </c>
      <c r="I12" s="48" t="s">
        <v>28</v>
      </c>
      <c r="J12" s="45" t="s">
        <v>25</v>
      </c>
      <c r="K12" s="45" t="s">
        <v>25</v>
      </c>
      <c r="L12" s="45" t="s">
        <v>25</v>
      </c>
      <c r="M12" s="45" t="s">
        <v>25</v>
      </c>
      <c r="N12" s="48" t="s">
        <v>28</v>
      </c>
      <c r="O12" s="46" t="s">
        <v>26</v>
      </c>
      <c r="P12" s="45" t="s">
        <v>25</v>
      </c>
      <c r="Q12" s="45" t="s">
        <v>25</v>
      </c>
    </row>
    <row r="13" ht="21.75" customHeight="1">
      <c r="B13" s="40" t="s">
        <v>18</v>
      </c>
      <c r="C13" s="45" t="s">
        <v>25</v>
      </c>
      <c r="D13" s="45" t="s">
        <v>25</v>
      </c>
      <c r="E13" s="45" t="s">
        <v>25</v>
      </c>
      <c r="F13" s="45" t="s">
        <v>25</v>
      </c>
      <c r="G13" s="45" t="s">
        <v>25</v>
      </c>
      <c r="H13" s="45" t="s">
        <v>25</v>
      </c>
      <c r="I13" s="48" t="s">
        <v>28</v>
      </c>
      <c r="J13" s="48" t="s">
        <v>28</v>
      </c>
      <c r="K13" s="45" t="s">
        <v>25</v>
      </c>
      <c r="L13" s="45" t="s">
        <v>25</v>
      </c>
      <c r="M13" s="46" t="s">
        <v>26</v>
      </c>
      <c r="N13" s="45" t="s">
        <v>25</v>
      </c>
      <c r="O13" s="45" t="s">
        <v>25</v>
      </c>
      <c r="P13" s="45" t="s">
        <v>25</v>
      </c>
      <c r="Q13" s="45" t="s">
        <v>25</v>
      </c>
    </row>
    <row r="14" ht="21.75" customHeight="1">
      <c r="B14" s="41" t="s">
        <v>19</v>
      </c>
      <c r="C14" s="45" t="s">
        <v>25</v>
      </c>
      <c r="D14" s="46" t="s">
        <v>26</v>
      </c>
      <c r="E14" s="45" t="s">
        <v>25</v>
      </c>
      <c r="F14" s="45" t="s">
        <v>25</v>
      </c>
      <c r="G14" s="48" t="s">
        <v>28</v>
      </c>
      <c r="H14" s="45" t="s">
        <v>25</v>
      </c>
      <c r="I14" s="46" t="s">
        <v>26</v>
      </c>
      <c r="J14" s="48" t="s">
        <v>28</v>
      </c>
      <c r="K14" s="45" t="s">
        <v>25</v>
      </c>
      <c r="L14" s="46" t="s">
        <v>26</v>
      </c>
      <c r="M14" s="48" t="s">
        <v>28</v>
      </c>
      <c r="N14" s="45" t="s">
        <v>25</v>
      </c>
      <c r="O14" s="45" t="s">
        <v>25</v>
      </c>
      <c r="P14" s="46" t="s">
        <v>26</v>
      </c>
      <c r="Q14" s="45" t="s">
        <v>25</v>
      </c>
    </row>
    <row r="15" ht="21.75" customHeight="1">
      <c r="B15" s="42" t="s">
        <v>20</v>
      </c>
      <c r="C15" s="45" t="s">
        <v>25</v>
      </c>
      <c r="D15" s="48" t="s">
        <v>28</v>
      </c>
      <c r="E15" s="45" t="s">
        <v>25</v>
      </c>
      <c r="F15" s="45" t="s">
        <v>25</v>
      </c>
      <c r="G15" s="45" t="s">
        <v>25</v>
      </c>
      <c r="H15" s="48" t="s">
        <v>28</v>
      </c>
      <c r="I15" s="46" t="s">
        <v>26</v>
      </c>
      <c r="J15" s="45" t="s">
        <v>25</v>
      </c>
      <c r="K15" s="46" t="s">
        <v>26</v>
      </c>
      <c r="L15" s="48" t="s">
        <v>28</v>
      </c>
      <c r="M15" s="45" t="s">
        <v>25</v>
      </c>
      <c r="N15" s="48" t="s">
        <v>28</v>
      </c>
      <c r="O15" s="45" t="s">
        <v>25</v>
      </c>
      <c r="P15" s="45" t="s">
        <v>25</v>
      </c>
      <c r="Q15" s="45" t="s">
        <v>25</v>
      </c>
    </row>
    <row r="16" ht="21.75" customHeight="1">
      <c r="B16" s="43" t="s">
        <v>21</v>
      </c>
      <c r="C16" s="47" t="s">
        <v>27</v>
      </c>
      <c r="D16" s="45" t="s">
        <v>25</v>
      </c>
      <c r="E16" s="45" t="s">
        <v>25</v>
      </c>
      <c r="F16" s="45" t="s">
        <v>25</v>
      </c>
      <c r="G16" s="45" t="s">
        <v>25</v>
      </c>
      <c r="H16" s="45" t="s">
        <v>25</v>
      </c>
      <c r="I16" s="45" t="s">
        <v>25</v>
      </c>
      <c r="J16" s="45" t="s">
        <v>25</v>
      </c>
      <c r="K16" s="45" t="s">
        <v>25</v>
      </c>
      <c r="L16" s="45" t="s">
        <v>25</v>
      </c>
      <c r="M16" s="48" t="s">
        <v>28</v>
      </c>
      <c r="N16" s="45" t="s">
        <v>25</v>
      </c>
      <c r="O16" s="45" t="s">
        <v>25</v>
      </c>
      <c r="P16" s="48" t="s">
        <v>28</v>
      </c>
      <c r="Q16" s="45" t="s">
        <v>25</v>
      </c>
    </row>
    <row r="17" ht="21.75" customHeight="1">
      <c r="B17" s="44" t="s">
        <v>22</v>
      </c>
      <c r="C17" s="45" t="s">
        <v>25</v>
      </c>
      <c r="D17" s="45" t="s">
        <v>25</v>
      </c>
      <c r="E17" s="45" t="s">
        <v>25</v>
      </c>
      <c r="F17" s="45" t="s">
        <v>25</v>
      </c>
      <c r="G17" s="45" t="s">
        <v>25</v>
      </c>
      <c r="H17" s="45" t="s">
        <v>25</v>
      </c>
      <c r="I17" s="45" t="s">
        <v>25</v>
      </c>
      <c r="J17" s="45" t="s">
        <v>25</v>
      </c>
      <c r="K17" s="45" t="s">
        <v>25</v>
      </c>
      <c r="L17" s="45" t="s">
        <v>25</v>
      </c>
      <c r="M17" s="45" t="s">
        <v>25</v>
      </c>
      <c r="N17" s="45" t="s">
        <v>25</v>
      </c>
      <c r="O17" s="45" t="s">
        <v>25</v>
      </c>
      <c r="P17" s="45" t="s">
        <v>25</v>
      </c>
      <c r="Q17" s="48" t="s">
        <v>28</v>
      </c>
    </row>
    <row r="19" ht="15" customHeight="1">
      <c r="C19" s="49" t="s">
        <v>29</v>
      </c>
    </row>
    <row r="20" ht="15" customHeight="1">
      <c r="C20" s="50" t="s">
        <v>27</v>
      </c>
      <c r="D20" s="51" t="s">
        <v>30</v>
      </c>
      <c r="E20" s="51"/>
    </row>
    <row r="21" ht="15" customHeight="1">
      <c r="C21" s="52" t="s">
        <v>26</v>
      </c>
      <c r="D21" s="51" t="s">
        <v>31</v>
      </c>
      <c r="E21" s="51"/>
      <c r="F21" s="51"/>
    </row>
    <row r="22" ht="15" customHeight="1">
      <c r="C22" s="53" t="s">
        <v>25</v>
      </c>
      <c r="D22" s="51" t="s">
        <v>32</v>
      </c>
      <c r="E22" s="51"/>
    </row>
    <row r="23" ht="15" customHeight="1">
      <c r="C23" s="54" t="s">
        <v>28</v>
      </c>
      <c r="D23" s="51" t="s">
        <v>33</v>
      </c>
      <c r="E23" s="51"/>
      <c r="F23" s="51"/>
    </row>
    <row r="26" ht="15" customHeight="1">
      <c r="B26" s="28"/>
      <c r="C26" s="55" t="s">
        <v>34</v>
      </c>
      <c r="D26" s="55"/>
      <c r="E26" s="55"/>
      <c r="F26" s="55"/>
      <c r="G26" s="55"/>
      <c r="H26" s="55"/>
      <c r="I26" s="55"/>
      <c r="J26" s="55"/>
      <c r="K26" s="55"/>
      <c r="L26" s="28"/>
    </row>
  </sheetData>
  <mergeCells count="5">
    <mergeCell ref="D20:E20"/>
    <mergeCell ref="D21:F21"/>
    <mergeCell ref="D22:E22"/>
    <mergeCell ref="D23:F23"/>
    <mergeCell ref="C26:K26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3</cp:revision>
  <dcterms:created xsi:type="dcterms:W3CDTF">2026-04-18T16:40:48Z</dcterms:created>
  <dcterms:modified xsi:type="dcterms:W3CDTF">2026-04-22T17:15:09Z</dcterms:modified>
</cp:coreProperties>
</file>